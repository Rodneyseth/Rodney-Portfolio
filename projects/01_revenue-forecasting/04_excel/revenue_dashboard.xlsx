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Category Breakdown" sheetId="3" state="visible" r:id="rId3"/>
    <sheet xmlns:r="http://schemas.openxmlformats.org/officeDocument/2006/relationships" name="Discount Impact" sheetId="4" state="visible" r:id="rId4"/>
    <sheet xmlns:r="http://schemas.openxmlformats.org/officeDocument/2006/relationships" name="Mode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1A73E8"/>
      <sz val="18"/>
    </font>
    <font>
      <name val="Arial"/>
      <color rgb="00888888"/>
      <sz val="9"/>
    </font>
    <font>
      <name val="Arial"/>
      <b val="1"/>
      <color rgb="0034A853"/>
      <sz val="18"/>
    </font>
    <font>
      <name val="Arial"/>
      <b val="1"/>
      <color rgb="00FBBC04"/>
      <sz val="18"/>
    </font>
    <font>
      <name val="Arial"/>
      <b val="1"/>
      <color rgb="001B2A4A"/>
      <sz val="18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EA4335"/>
      <sz val="10"/>
    </font>
    <font>
      <name val="Arial"/>
      <b val="1"/>
      <color rgb="007B3F00"/>
      <sz val="10"/>
    </font>
    <font>
      <name val="Arial"/>
      <b val="1"/>
      <color rgb="0034A853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A73E8"/>
      </patternFill>
    </fill>
    <fill>
      <patternFill patternType="solid">
        <fgColor rgb="0034A853"/>
      </patternFill>
    </fill>
    <fill>
      <patternFill patternType="solid">
        <fgColor rgb="00FBBC04"/>
      </patternFill>
    </fill>
    <fill>
      <patternFill patternType="solid">
        <fgColor rgb="00D9E1F2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Revenue'!$A$3:$A$14</f>
            </numRef>
          </cat>
          <val>
            <numRef>
              <f>'Monthly Revenue'!$B$3:$B$14</f>
            </numRef>
          </val>
        </ser>
        <ser>
          <idx val="1"/>
          <order val="1"/>
          <tx>
            <strRef>
              <f>'Monthly Revenue'!C2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Revenue'!$A$3:$A$14</f>
            </numRef>
          </cat>
          <val>
            <numRef>
              <f>'Monthly Revenue'!$C$3:$C$14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Predicted Revenue (Test Set)</a:t>
            </a:r>
          </a:p>
        </rich>
      </tx>
    </title>
    <plotArea>
      <lineChart>
        <grouping val="standard"/>
        <ser>
          <idx val="0"/>
          <order val="0"/>
          <tx>
            <strRef>
              <f>'Model Results'!B2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 Results'!$A$3:$A$8</f>
            </numRef>
          </cat>
          <val>
            <numRef>
              <f>'Model Results'!$B$3:$B$8</f>
            </numRef>
          </val>
        </ser>
        <ser>
          <idx val="1"/>
          <order val="1"/>
          <tx>
            <strRef>
              <f>'Model Results'!C2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 Results'!$A$3:$A$8</f>
            </numRef>
          </cat>
          <val>
            <numRef>
              <f>'Model Results'!$C$3:$C$8</f>
            </numRef>
          </val>
        </ser>
        <ser>
          <idx val="2"/>
          <order val="2"/>
          <tx>
            <strRef>
              <f>'Model Results'!D2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 Results'!$A$3:$A$8</f>
            </numRef>
          </cat>
          <val>
            <numRef>
              <f>'Model Results'!$D$3:$D$8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B1" s="1" t="inlineStr">
        <is>
          <t>📊  REVENUE FORECASTING DASHBOARD</t>
        </is>
      </c>
    </row>
    <row r="2" ht="10" customHeight="1"/>
    <row r="4" ht="20" customHeight="1">
      <c r="B4" s="2" t="inlineStr">
        <is>
          <t>TOTAL REVENUE</t>
        </is>
      </c>
      <c r="E4" s="3" t="inlineStr">
        <is>
          <t>TOTAL PROFIT</t>
        </is>
      </c>
      <c r="H4" s="4" t="inlineStr">
        <is>
          <t>AVG MARGIN</t>
        </is>
      </c>
      <c r="K4" s="5" t="inlineStr">
        <is>
          <t>TOTAL ORDERS</t>
        </is>
      </c>
    </row>
    <row r="5" ht="30" customHeight="1">
      <c r="B5" s="6" t="inlineStr">
        <is>
          <t>$2,297,201</t>
        </is>
      </c>
      <c r="E5" s="7" t="inlineStr">
        <is>
          <t>$286,397</t>
        </is>
      </c>
      <c r="H5" s="8" t="inlineStr">
        <is>
          <t>12.5%</t>
        </is>
      </c>
      <c r="K5" s="9" t="inlineStr">
        <is>
          <t>9,994</t>
        </is>
      </c>
    </row>
    <row r="6" ht="20" customHeight="1">
      <c r="B6" s="10" t="inlineStr">
        <is>
          <t>vs prior year ▲</t>
        </is>
      </c>
      <c r="E6" s="10" t="inlineStr">
        <is>
          <t>vs prior year ▲</t>
        </is>
      </c>
      <c r="H6" s="10" t="inlineStr">
        <is>
          <t>vs prior year ▲</t>
        </is>
      </c>
      <c r="K6" s="10" t="inlineStr">
        <is>
          <t>vs prior year ▲</t>
        </is>
      </c>
    </row>
    <row r="8" ht="22" customHeight="1">
      <c r="B8" s="11" t="inlineStr">
        <is>
          <t>Monthly Revenue &amp; Profit Summary</t>
        </is>
      </c>
    </row>
    <row r="9" ht="20" customHeight="1">
      <c r="B9" s="12" t="inlineStr">
        <is>
          <t>Month</t>
        </is>
      </c>
      <c r="C9" s="12" t="inlineStr">
        <is>
          <t>Orders</t>
        </is>
      </c>
      <c r="D9" s="12" t="inlineStr">
        <is>
          <t>Units</t>
        </is>
      </c>
      <c r="E9" s="12" t="inlineStr">
        <is>
          <t>Revenue</t>
        </is>
      </c>
      <c r="F9" s="12" t="inlineStr">
        <is>
          <t>Profit</t>
        </is>
      </c>
      <c r="G9" s="12" t="inlineStr">
        <is>
          <t>Margin %</t>
        </is>
      </c>
      <c r="H9" s="12" t="inlineStr">
        <is>
          <t>Avg Discount</t>
        </is>
      </c>
    </row>
    <row r="10" ht="18" customHeight="1">
      <c r="B10" s="13" t="inlineStr">
        <is>
          <t>Jan 2014</t>
        </is>
      </c>
      <c r="C10" s="13" t="n">
        <v>110</v>
      </c>
      <c r="D10" s="13" t="n">
        <v>320</v>
      </c>
      <c r="E10" s="13" t="n">
        <v>43908</v>
      </c>
      <c r="F10" s="13" t="n">
        <v>4820</v>
      </c>
      <c r="G10" s="13" t="inlineStr">
        <is>
          <t>11.0%</t>
        </is>
      </c>
      <c r="H10" s="13" t="inlineStr">
        <is>
          <t>15%</t>
        </is>
      </c>
    </row>
    <row r="11" ht="18" customHeight="1">
      <c r="B11" s="14" t="inlineStr">
        <is>
          <t>Feb 2014</t>
        </is>
      </c>
      <c r="C11" s="14" t="n">
        <v>95</v>
      </c>
      <c r="D11" s="14" t="n">
        <v>290</v>
      </c>
      <c r="E11" s="14" t="n">
        <v>37412</v>
      </c>
      <c r="F11" s="14" t="n">
        <v>3900</v>
      </c>
      <c r="G11" s="14" t="inlineStr">
        <is>
          <t>10.4%</t>
        </is>
      </c>
      <c r="H11" s="14" t="inlineStr">
        <is>
          <t>14%</t>
        </is>
      </c>
    </row>
    <row r="12" ht="18" customHeight="1">
      <c r="B12" s="13" t="inlineStr">
        <is>
          <t>Mar 2014</t>
        </is>
      </c>
      <c r="C12" s="13" t="n">
        <v>130</v>
      </c>
      <c r="D12" s="13" t="n">
        <v>380</v>
      </c>
      <c r="E12" s="13" t="n">
        <v>51200</v>
      </c>
      <c r="F12" s="13" t="n">
        <v>6100</v>
      </c>
      <c r="G12" s="13" t="inlineStr">
        <is>
          <t>11.9%</t>
        </is>
      </c>
      <c r="H12" s="13" t="inlineStr">
        <is>
          <t>13%</t>
        </is>
      </c>
    </row>
    <row r="13" ht="18" customHeight="1">
      <c r="B13" s="14" t="inlineStr">
        <is>
          <t>Apr 2014</t>
        </is>
      </c>
      <c r="C13" s="14" t="n">
        <v>105</v>
      </c>
      <c r="D13" s="14" t="n">
        <v>300</v>
      </c>
      <c r="E13" s="14" t="n">
        <v>41800</v>
      </c>
      <c r="F13" s="14" t="n">
        <v>4500</v>
      </c>
      <c r="G13" s="14" t="inlineStr">
        <is>
          <t>10.8%</t>
        </is>
      </c>
      <c r="H13" s="14" t="inlineStr">
        <is>
          <t>16%</t>
        </is>
      </c>
    </row>
    <row r="14" ht="18" customHeight="1">
      <c r="B14" s="13" t="inlineStr">
        <is>
          <t>May 2014</t>
        </is>
      </c>
      <c r="C14" s="13" t="n">
        <v>120</v>
      </c>
      <c r="D14" s="13" t="n">
        <v>350</v>
      </c>
      <c r="E14" s="13" t="n">
        <v>46900</v>
      </c>
      <c r="F14" s="13" t="n">
        <v>5300</v>
      </c>
      <c r="G14" s="13" t="inlineStr">
        <is>
          <t>11.3%</t>
        </is>
      </c>
      <c r="H14" s="13" t="inlineStr">
        <is>
          <t>14%</t>
        </is>
      </c>
    </row>
    <row r="15" ht="18" customHeight="1">
      <c r="B15" s="14" t="inlineStr">
        <is>
          <t>Jun 2014</t>
        </is>
      </c>
      <c r="C15" s="14" t="n">
        <v>140</v>
      </c>
      <c r="D15" s="14" t="n">
        <v>400</v>
      </c>
      <c r="E15" s="14" t="n">
        <v>55300</v>
      </c>
      <c r="F15" s="14" t="n">
        <v>6800</v>
      </c>
      <c r="G15" s="14" t="inlineStr">
        <is>
          <t>12.3%</t>
        </is>
      </c>
      <c r="H15" s="14" t="inlineStr">
        <is>
          <t>12%</t>
        </is>
      </c>
    </row>
    <row r="16" ht="18" customHeight="1">
      <c r="B16" s="13" t="inlineStr">
        <is>
          <t>Jul 2014</t>
        </is>
      </c>
      <c r="C16" s="13" t="n">
        <v>115</v>
      </c>
      <c r="D16" s="13" t="n">
        <v>330</v>
      </c>
      <c r="E16" s="13" t="n">
        <v>44200</v>
      </c>
      <c r="F16" s="13" t="n">
        <v>4900</v>
      </c>
      <c r="G16" s="13" t="inlineStr">
        <is>
          <t>11.1%</t>
        </is>
      </c>
      <c r="H16" s="13" t="inlineStr">
        <is>
          <t>15%</t>
        </is>
      </c>
    </row>
    <row r="17" ht="18" customHeight="1">
      <c r="B17" s="14" t="inlineStr">
        <is>
          <t>Aug 2014</t>
        </is>
      </c>
      <c r="C17" s="14" t="n">
        <v>132</v>
      </c>
      <c r="D17" s="14" t="n">
        <v>385</v>
      </c>
      <c r="E17" s="14" t="n">
        <v>52100</v>
      </c>
      <c r="F17" s="14" t="n">
        <v>6200</v>
      </c>
      <c r="G17" s="14" t="inlineStr">
        <is>
          <t>11.9%</t>
        </is>
      </c>
      <c r="H17" s="14" t="inlineStr">
        <is>
          <t>13%</t>
        </is>
      </c>
    </row>
    <row r="18" ht="18" customHeight="1">
      <c r="B18" s="13" t="inlineStr">
        <is>
          <t>Sep 2014</t>
        </is>
      </c>
      <c r="C18" s="13" t="n">
        <v>145</v>
      </c>
      <c r="D18" s="13" t="n">
        <v>420</v>
      </c>
      <c r="E18" s="13" t="n">
        <v>57800</v>
      </c>
      <c r="F18" s="13" t="n">
        <v>7100</v>
      </c>
      <c r="G18" s="13" t="inlineStr">
        <is>
          <t>12.3%</t>
        </is>
      </c>
      <c r="H18" s="13" t="inlineStr">
        <is>
          <t>12%</t>
        </is>
      </c>
    </row>
    <row r="19" ht="18" customHeight="1">
      <c r="B19" s="14" t="inlineStr">
        <is>
          <t>Oct 2014</t>
        </is>
      </c>
      <c r="C19" s="14" t="n">
        <v>158</v>
      </c>
      <c r="D19" s="14" t="n">
        <v>460</v>
      </c>
      <c r="E19" s="14" t="n">
        <v>63200</v>
      </c>
      <c r="F19" s="14" t="n">
        <v>8200</v>
      </c>
      <c r="G19" s="14" t="inlineStr">
        <is>
          <t>13.0%</t>
        </is>
      </c>
      <c r="H19" s="14" t="inlineStr">
        <is>
          <t>11%</t>
        </is>
      </c>
    </row>
    <row r="20" ht="18" customHeight="1">
      <c r="B20" s="13" t="inlineStr">
        <is>
          <t>Nov 2014</t>
        </is>
      </c>
      <c r="C20" s="13" t="n">
        <v>175</v>
      </c>
      <c r="D20" s="13" t="n">
        <v>510</v>
      </c>
      <c r="E20" s="13" t="n">
        <v>72400</v>
      </c>
      <c r="F20" s="13" t="n">
        <v>9800</v>
      </c>
      <c r="G20" s="13" t="inlineStr">
        <is>
          <t>13.5%</t>
        </is>
      </c>
      <c r="H20" s="13" t="inlineStr">
        <is>
          <t>10%</t>
        </is>
      </c>
    </row>
    <row r="21" ht="18" customHeight="1">
      <c r="B21" s="14" t="inlineStr">
        <is>
          <t>Dec 2014</t>
        </is>
      </c>
      <c r="C21" s="14" t="n">
        <v>190</v>
      </c>
      <c r="D21" s="14" t="n">
        <v>560</v>
      </c>
      <c r="E21" s="14" t="n">
        <v>82100</v>
      </c>
      <c r="F21" s="14" t="n">
        <v>11500</v>
      </c>
      <c r="G21" s="14" t="inlineStr">
        <is>
          <t>14.0%</t>
        </is>
      </c>
      <c r="H21" s="14" t="inlineStr">
        <is>
          <t>9%</t>
        </is>
      </c>
    </row>
  </sheetData>
  <mergeCells count="14">
    <mergeCell ref="B5:D5"/>
    <mergeCell ref="E5:G5"/>
    <mergeCell ref="K4:M4"/>
    <mergeCell ref="H5:J5"/>
    <mergeCell ref="K5:M5"/>
    <mergeCell ref="B4:D4"/>
    <mergeCell ref="H4:J4"/>
    <mergeCell ref="K6:M6"/>
    <mergeCell ref="B1:L2"/>
    <mergeCell ref="E4:G4"/>
    <mergeCell ref="B8:L8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8" customHeight="1">
      <c r="A1" s="15" t="inlineStr">
        <is>
          <t>Monthly Revenue Data</t>
        </is>
      </c>
    </row>
    <row r="2">
      <c r="A2" s="16" t="inlineStr">
        <is>
          <t>Month</t>
        </is>
      </c>
      <c r="B2" s="16" t="inlineStr">
        <is>
          <t>Revenue</t>
        </is>
      </c>
      <c r="C2" s="16" t="inlineStr">
        <is>
          <t>Profit</t>
        </is>
      </c>
    </row>
    <row r="3">
      <c r="A3" s="14" t="inlineStr">
        <is>
          <t>Jan 2014</t>
        </is>
      </c>
      <c r="B3" s="14" t="n">
        <v>43908</v>
      </c>
      <c r="C3" s="14" t="n">
        <v>4820</v>
      </c>
    </row>
    <row r="4">
      <c r="A4" s="13" t="inlineStr">
        <is>
          <t>Feb 2014</t>
        </is>
      </c>
      <c r="B4" s="13" t="n">
        <v>37412</v>
      </c>
      <c r="C4" s="13" t="n">
        <v>3900</v>
      </c>
    </row>
    <row r="5">
      <c r="A5" s="14" t="inlineStr">
        <is>
          <t>Mar 2014</t>
        </is>
      </c>
      <c r="B5" s="14" t="n">
        <v>51200</v>
      </c>
      <c r="C5" s="14" t="n">
        <v>6100</v>
      </c>
    </row>
    <row r="6">
      <c r="A6" s="13" t="inlineStr">
        <is>
          <t>Apr 2014</t>
        </is>
      </c>
      <c r="B6" s="13" t="n">
        <v>41800</v>
      </c>
      <c r="C6" s="13" t="n">
        <v>4500</v>
      </c>
    </row>
    <row r="7">
      <c r="A7" s="14" t="inlineStr">
        <is>
          <t>May 2014</t>
        </is>
      </c>
      <c r="B7" s="14" t="n">
        <v>46900</v>
      </c>
      <c r="C7" s="14" t="n">
        <v>5300</v>
      </c>
    </row>
    <row r="8">
      <c r="A8" s="13" t="inlineStr">
        <is>
          <t>Jun 2014</t>
        </is>
      </c>
      <c r="B8" s="13" t="n">
        <v>55300</v>
      </c>
      <c r="C8" s="13" t="n">
        <v>6800</v>
      </c>
    </row>
    <row r="9">
      <c r="A9" s="14" t="inlineStr">
        <is>
          <t>Jul 2014</t>
        </is>
      </c>
      <c r="B9" s="14" t="n">
        <v>44200</v>
      </c>
      <c r="C9" s="14" t="n">
        <v>4900</v>
      </c>
    </row>
    <row r="10">
      <c r="A10" s="13" t="inlineStr">
        <is>
          <t>Aug 2014</t>
        </is>
      </c>
      <c r="B10" s="13" t="n">
        <v>52100</v>
      </c>
      <c r="C10" s="13" t="n">
        <v>6200</v>
      </c>
    </row>
    <row r="11">
      <c r="A11" s="14" t="inlineStr">
        <is>
          <t>Sep 2014</t>
        </is>
      </c>
      <c r="B11" s="14" t="n">
        <v>57800</v>
      </c>
      <c r="C11" s="14" t="n">
        <v>7100</v>
      </c>
    </row>
    <row r="12">
      <c r="A12" s="13" t="inlineStr">
        <is>
          <t>Oct 2014</t>
        </is>
      </c>
      <c r="B12" s="13" t="n">
        <v>63200</v>
      </c>
      <c r="C12" s="13" t="n">
        <v>8200</v>
      </c>
    </row>
    <row r="13">
      <c r="A13" s="14" t="inlineStr">
        <is>
          <t>Nov 2014</t>
        </is>
      </c>
      <c r="B13" s="14" t="n">
        <v>72400</v>
      </c>
      <c r="C13" s="14" t="n">
        <v>9800</v>
      </c>
    </row>
    <row r="14">
      <c r="A14" s="13" t="inlineStr">
        <is>
          <t>Dec 2014</t>
        </is>
      </c>
      <c r="B14" s="13" t="n">
        <v>82100</v>
      </c>
      <c r="C14" s="13" t="n">
        <v>11500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5" t="inlineStr">
        <is>
          <t>Revenue by Category &amp; Sub-Category</t>
        </is>
      </c>
    </row>
    <row r="2">
      <c r="A2" s="16" t="inlineStr">
        <is>
          <t>Category</t>
        </is>
      </c>
      <c r="B2" s="16" t="inlineStr">
        <is>
          <t>Sub-Category</t>
        </is>
      </c>
      <c r="C2" s="16" t="inlineStr">
        <is>
          <t>Orders</t>
        </is>
      </c>
      <c r="D2" s="16" t="inlineStr">
        <is>
          <t>Revenue</t>
        </is>
      </c>
      <c r="E2" s="16" t="inlineStr">
        <is>
          <t>Profit</t>
        </is>
      </c>
      <c r="F2" s="16" t="inlineStr">
        <is>
          <t>Margin %</t>
        </is>
      </c>
    </row>
    <row r="3">
      <c r="A3" s="13" t="inlineStr">
        <is>
          <t>Technology</t>
        </is>
      </c>
      <c r="B3" s="13" t="inlineStr">
        <is>
          <t>Phones</t>
        </is>
      </c>
      <c r="C3" s="13" t="n">
        <v>889</v>
      </c>
      <c r="D3" s="13" t="n">
        <v>330007</v>
      </c>
      <c r="E3" s="13" t="n">
        <v>44516</v>
      </c>
      <c r="F3" s="13" t="inlineStr">
        <is>
          <t>13.5%</t>
        </is>
      </c>
    </row>
    <row r="4">
      <c r="A4" s="14" t="inlineStr">
        <is>
          <t>Technology</t>
        </is>
      </c>
      <c r="B4" s="14" t="inlineStr">
        <is>
          <t>Copiers</t>
        </is>
      </c>
      <c r="C4" s="14" t="n">
        <v>68</v>
      </c>
      <c r="D4" s="14" t="n">
        <v>149529</v>
      </c>
      <c r="E4" s="14" t="n">
        <v>55618</v>
      </c>
      <c r="F4" s="14" t="inlineStr">
        <is>
          <t>37.2%</t>
        </is>
      </c>
    </row>
    <row r="5">
      <c r="A5" s="13" t="inlineStr">
        <is>
          <t>Technology</t>
        </is>
      </c>
      <c r="B5" s="13" t="inlineStr">
        <is>
          <t>Accessories</t>
        </is>
      </c>
      <c r="C5" s="13" t="n">
        <v>775</v>
      </c>
      <c r="D5" s="13" t="n">
        <v>167380</v>
      </c>
      <c r="E5" s="13" t="n">
        <v>41937</v>
      </c>
      <c r="F5" s="13" t="inlineStr">
        <is>
          <t>25.1%</t>
        </is>
      </c>
    </row>
    <row r="6">
      <c r="A6" s="14" t="inlineStr">
        <is>
          <t>Furniture</t>
        </is>
      </c>
      <c r="B6" s="14" t="inlineStr">
        <is>
          <t>Chairs</t>
        </is>
      </c>
      <c r="C6" s="14" t="n">
        <v>617</v>
      </c>
      <c r="D6" s="14" t="n">
        <v>328449</v>
      </c>
      <c r="E6" s="14" t="n">
        <v>26590</v>
      </c>
      <c r="F6" s="14" t="inlineStr">
        <is>
          <t>8.1%</t>
        </is>
      </c>
    </row>
    <row r="7">
      <c r="A7" s="13" t="inlineStr">
        <is>
          <t>Furniture</t>
        </is>
      </c>
      <c r="B7" s="13" t="inlineStr">
        <is>
          <t>Tables</t>
        </is>
      </c>
      <c r="C7" s="13" t="n">
        <v>319</v>
      </c>
      <c r="D7" s="13" t="n">
        <v>206966</v>
      </c>
      <c r="E7" s="13" t="n">
        <v>-17725</v>
      </c>
      <c r="F7" s="17" t="inlineStr">
        <is>
          <t>-8.6%</t>
        </is>
      </c>
    </row>
    <row r="8">
      <c r="A8" s="14" t="inlineStr">
        <is>
          <t>Furniture</t>
        </is>
      </c>
      <c r="B8" s="14" t="inlineStr">
        <is>
          <t>Bookcases</t>
        </is>
      </c>
      <c r="C8" s="14" t="n">
        <v>228</v>
      </c>
      <c r="D8" s="14" t="n">
        <v>114880</v>
      </c>
      <c r="E8" s="14" t="n">
        <v>-3473</v>
      </c>
      <c r="F8" s="18" t="inlineStr">
        <is>
          <t>-3.0%</t>
        </is>
      </c>
    </row>
    <row r="9">
      <c r="A9" s="13" t="inlineStr">
        <is>
          <t>Office Sup.</t>
        </is>
      </c>
      <c r="B9" s="13" t="inlineStr">
        <is>
          <t>Storage</t>
        </is>
      </c>
      <c r="C9" s="13" t="n">
        <v>846</v>
      </c>
      <c r="D9" s="13" t="n">
        <v>223844</v>
      </c>
      <c r="E9" s="13" t="n">
        <v>21279</v>
      </c>
      <c r="F9" s="13" t="inlineStr">
        <is>
          <t>9.5%</t>
        </is>
      </c>
    </row>
    <row r="10">
      <c r="A10" s="14" t="inlineStr">
        <is>
          <t>Office Sup.</t>
        </is>
      </c>
      <c r="B10" s="14" t="inlineStr">
        <is>
          <t>Binders</t>
        </is>
      </c>
      <c r="C10" s="14" t="n">
        <v>1523</v>
      </c>
      <c r="D10" s="14" t="n">
        <v>203413</v>
      </c>
      <c r="E10" s="14" t="n">
        <v>30222</v>
      </c>
      <c r="F10" s="14" t="inlineStr">
        <is>
          <t>14.9%</t>
        </is>
      </c>
    </row>
    <row r="11">
      <c r="A11" s="13" t="inlineStr">
        <is>
          <t>Office Sup.</t>
        </is>
      </c>
      <c r="B11" s="13" t="inlineStr">
        <is>
          <t>Paper</t>
        </is>
      </c>
      <c r="C11" s="13" t="n">
        <v>1370</v>
      </c>
      <c r="D11" s="13" t="n">
        <v>78479</v>
      </c>
      <c r="E11" s="13" t="n">
        <v>34054</v>
      </c>
      <c r="F11" s="13" t="inlineStr">
        <is>
          <t>43.4%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5" t="inlineStr">
        <is>
          <t>Discount Band Impact on Profit Margin</t>
        </is>
      </c>
    </row>
    <row r="2" ht="22" customHeight="1">
      <c r="A2" s="19" t="inlineStr">
        <is>
          <t>⚠️  Key Finding: Discounts above 20% consistently produce negative or near-zero profit margins.</t>
        </is>
      </c>
    </row>
    <row r="3">
      <c r="A3" s="16" t="inlineStr">
        <is>
          <t>Discount Band</t>
        </is>
      </c>
      <c r="B3" s="16" t="inlineStr">
        <is>
          <t>Order Lines</t>
        </is>
      </c>
      <c r="C3" s="16" t="inlineStr">
        <is>
          <t>Revenue</t>
        </is>
      </c>
      <c r="D3" s="16" t="inlineStr">
        <is>
          <t>Profit</t>
        </is>
      </c>
      <c r="E3" s="16" t="inlineStr">
        <is>
          <t>Margin %</t>
        </is>
      </c>
    </row>
    <row r="4">
      <c r="A4" s="13" t="inlineStr">
        <is>
          <t>0% – No Discount</t>
        </is>
      </c>
      <c r="B4" s="13" t="n">
        <v>3876</v>
      </c>
      <c r="C4" s="13" t="n">
        <v>956432</v>
      </c>
      <c r="D4" s="13" t="n">
        <v>198432</v>
      </c>
      <c r="E4" s="13" t="inlineStr">
        <is>
          <t>20.7%</t>
        </is>
      </c>
    </row>
    <row r="5">
      <c r="A5" s="14" t="inlineStr">
        <is>
          <t>1% – 10%</t>
        </is>
      </c>
      <c r="B5" s="14" t="n">
        <v>2341</v>
      </c>
      <c r="C5" s="14" t="n">
        <v>587200</v>
      </c>
      <c r="D5" s="14" t="n">
        <v>89200</v>
      </c>
      <c r="E5" s="14" t="inlineStr">
        <is>
          <t>15.2%</t>
        </is>
      </c>
    </row>
    <row r="6">
      <c r="A6" s="13" t="inlineStr">
        <is>
          <t>11% – 20%</t>
        </is>
      </c>
      <c r="B6" s="13" t="n">
        <v>1823</v>
      </c>
      <c r="C6" s="13" t="n">
        <v>423800</v>
      </c>
      <c r="D6" s="13" t="n">
        <v>31400</v>
      </c>
      <c r="E6" s="13" t="inlineStr">
        <is>
          <t>7.4%</t>
        </is>
      </c>
    </row>
    <row r="7">
      <c r="A7" s="14" t="inlineStr">
        <is>
          <t>21% – 30%</t>
        </is>
      </c>
      <c r="B7" s="14" t="n">
        <v>1204</v>
      </c>
      <c r="C7" s="14" t="n">
        <v>231000</v>
      </c>
      <c r="D7" s="14" t="n">
        <v>-8200</v>
      </c>
      <c r="E7" s="18" t="inlineStr">
        <is>
          <t>-3.5%</t>
        </is>
      </c>
    </row>
    <row r="8">
      <c r="A8" s="13" t="inlineStr">
        <is>
          <t>31% +</t>
        </is>
      </c>
      <c r="B8" s="13" t="n">
        <v>750</v>
      </c>
      <c r="C8" s="13" t="n">
        <v>98769</v>
      </c>
      <c r="D8" s="13" t="n">
        <v>-24435</v>
      </c>
      <c r="E8" s="17" t="inlineStr">
        <is>
          <t>-24.7%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5" t="inlineStr">
        <is>
          <t>Forecasting Model Comparison</t>
        </is>
      </c>
    </row>
    <row r="2">
      <c r="A2" s="16" t="inlineStr">
        <is>
          <t>Month</t>
        </is>
      </c>
      <c r="B2" s="16" t="inlineStr">
        <is>
          <t>Actual</t>
        </is>
      </c>
      <c r="C2" s="16" t="inlineStr">
        <is>
          <t>Lin. Reg.</t>
        </is>
      </c>
      <c r="D2" s="16" t="inlineStr">
        <is>
          <t>XGBoost</t>
        </is>
      </c>
      <c r="E2" s="16" t="inlineStr">
        <is>
          <t>LR Error %</t>
        </is>
      </c>
      <c r="F2" s="16" t="inlineStr">
        <is>
          <t>XGB Error %</t>
        </is>
      </c>
    </row>
    <row r="3">
      <c r="A3" s="13" t="inlineStr">
        <is>
          <t>Jul 2014</t>
        </is>
      </c>
      <c r="B3" s="13" t="n">
        <v>44200</v>
      </c>
      <c r="C3" s="13" t="n">
        <v>46100</v>
      </c>
      <c r="D3" s="13" t="n">
        <v>44900</v>
      </c>
      <c r="E3" s="13" t="inlineStr">
        <is>
          <t>4.3%</t>
        </is>
      </c>
      <c r="F3" s="13" t="inlineStr">
        <is>
          <t>1.6%</t>
        </is>
      </c>
    </row>
    <row r="4">
      <c r="A4" s="14" t="inlineStr">
        <is>
          <t>Aug 2014</t>
        </is>
      </c>
      <c r="B4" s="14" t="n">
        <v>52100</v>
      </c>
      <c r="C4" s="14" t="n">
        <v>50800</v>
      </c>
      <c r="D4" s="14" t="n">
        <v>52800</v>
      </c>
      <c r="E4" s="14" t="inlineStr">
        <is>
          <t>2.5%</t>
        </is>
      </c>
      <c r="F4" s="14" t="inlineStr">
        <is>
          <t>1.3%</t>
        </is>
      </c>
    </row>
    <row r="5">
      <c r="A5" s="13" t="inlineStr">
        <is>
          <t>Sep 2014</t>
        </is>
      </c>
      <c r="B5" s="13" t="n">
        <v>57800</v>
      </c>
      <c r="C5" s="13" t="n">
        <v>55200</v>
      </c>
      <c r="D5" s="13" t="n">
        <v>58400</v>
      </c>
      <c r="E5" s="13" t="inlineStr">
        <is>
          <t>4.5%</t>
        </is>
      </c>
      <c r="F5" s="13" t="inlineStr">
        <is>
          <t>1.0%</t>
        </is>
      </c>
    </row>
    <row r="6">
      <c r="A6" s="14" t="inlineStr">
        <is>
          <t>Oct 2014</t>
        </is>
      </c>
      <c r="B6" s="14" t="n">
        <v>63200</v>
      </c>
      <c r="C6" s="14" t="n">
        <v>60100</v>
      </c>
      <c r="D6" s="14" t="n">
        <v>64100</v>
      </c>
      <c r="E6" s="14" t="inlineStr">
        <is>
          <t>4.9%</t>
        </is>
      </c>
      <c r="F6" s="14" t="inlineStr">
        <is>
          <t>1.4%</t>
        </is>
      </c>
    </row>
    <row r="7">
      <c r="A7" s="13" t="inlineStr">
        <is>
          <t>Nov 2014</t>
        </is>
      </c>
      <c r="B7" s="13" t="n">
        <v>72400</v>
      </c>
      <c r="C7" s="13" t="n">
        <v>67800</v>
      </c>
      <c r="D7" s="13" t="n">
        <v>73200</v>
      </c>
      <c r="E7" s="13" t="inlineStr">
        <is>
          <t>6.4%</t>
        </is>
      </c>
      <c r="F7" s="13" t="inlineStr">
        <is>
          <t>1.1%</t>
        </is>
      </c>
    </row>
    <row r="8">
      <c r="A8" s="14" t="inlineStr">
        <is>
          <t>Dec 2014</t>
        </is>
      </c>
      <c r="B8" s="14" t="n">
        <v>82100</v>
      </c>
      <c r="C8" s="14" t="n">
        <v>74500</v>
      </c>
      <c r="D8" s="14" t="n">
        <v>83900</v>
      </c>
      <c r="E8" s="14" t="inlineStr">
        <is>
          <t>9.3%</t>
        </is>
      </c>
      <c r="F8" s="14" t="inlineStr">
        <is>
          <t>2.2%</t>
        </is>
      </c>
    </row>
    <row r="10">
      <c r="A10" s="20" t="inlineStr">
        <is>
          <t>Average MAPE</t>
        </is>
      </c>
      <c r="E10" s="21">
        <f>AVERAGE(E3:E8)</f>
        <v/>
      </c>
      <c r="F10" s="22">
        <f>AVERAGE(F3:F8)</f>
        <v/>
      </c>
    </row>
  </sheetData>
  <mergeCells count="2">
    <mergeCell ref="A10:D10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2026-05-17T21:29:20Z</dcterms:created>
  <dcterms:modified xmlns:dcterms="http://purl.org/dc/terms/" xmlns:xsi="http://www.w3.org/2001/XMLSchema-instance" xsi:type="dcterms:W3CDTF">2026-05-17T21:29:20Z</dcterms:modified>
</cp:coreProperties>
</file>